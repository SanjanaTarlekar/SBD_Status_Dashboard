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entral-my.sharepoint.com/personal/sanjana_tarlekar_sbdinc_com/Documents/Data Analyst/SQL/"/>
    </mc:Choice>
  </mc:AlternateContent>
  <xr:revisionPtr revIDLastSave="184" documentId="8_{C4A61F42-15FF-4B38-B51A-FE74935DC3E0}" xr6:coauthVersionLast="47" xr6:coauthVersionMax="47" xr10:uidLastSave="{B9301A7E-C44D-4FA3-88FC-FEDE424C05CF}"/>
  <bookViews>
    <workbookView xWindow="-108" yWindow="-108" windowWidth="23256" windowHeight="13896" xr2:uid="{48E3B51B-3E5F-4C3F-91BE-5E148841E756}"/>
  </bookViews>
  <sheets>
    <sheet name="Sheet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2" i="1"/>
  <c r="K11" i="1"/>
  <c r="K17" i="1"/>
  <c r="K18" i="1"/>
  <c r="K19" i="1"/>
  <c r="K20" i="1"/>
</calcChain>
</file>

<file path=xl/sharedStrings.xml><?xml version="1.0" encoding="utf-8"?>
<sst xmlns="http://schemas.openxmlformats.org/spreadsheetml/2006/main" count="244" uniqueCount="54">
  <si>
    <t>Screws</t>
  </si>
  <si>
    <t>Grease</t>
  </si>
  <si>
    <t>Rings</t>
  </si>
  <si>
    <t>Wheels</t>
  </si>
  <si>
    <t>Keys</t>
  </si>
  <si>
    <t>Gears</t>
  </si>
  <si>
    <t>Rivets</t>
  </si>
  <si>
    <t>Studs</t>
  </si>
  <si>
    <t>Magnets</t>
  </si>
  <si>
    <t>Springs</t>
  </si>
  <si>
    <t>Planet Carriers</t>
  </si>
  <si>
    <t>Pins</t>
  </si>
  <si>
    <t>Bearings</t>
  </si>
  <si>
    <t>Nuts</t>
  </si>
  <si>
    <t>Washers</t>
  </si>
  <si>
    <t>Bolts</t>
  </si>
  <si>
    <t>Tanks (Liquid)</t>
  </si>
  <si>
    <t>Auxiliary Handles (Side/Bail/etc.)</t>
  </si>
  <si>
    <t>Guards</t>
  </si>
  <si>
    <t>Shoes (Cirs/Recips/Jig/Rotary etc.)</t>
  </si>
  <si>
    <t>Latches</t>
  </si>
  <si>
    <t>Caps</t>
  </si>
  <si>
    <t>Sockets</t>
  </si>
  <si>
    <t>Wrenches</t>
  </si>
  <si>
    <t>Drive Tools</t>
  </si>
  <si>
    <t>Pliers</t>
  </si>
  <si>
    <t>Allen Keys</t>
  </si>
  <si>
    <t>Screwdrivers</t>
  </si>
  <si>
    <t>Taps &amp; Dies</t>
  </si>
  <si>
    <t>Category</t>
  </si>
  <si>
    <t>Hardware</t>
  </si>
  <si>
    <t>Product</t>
  </si>
  <si>
    <t>Product Name</t>
  </si>
  <si>
    <t>Description</t>
  </si>
  <si>
    <t>Standard</t>
  </si>
  <si>
    <t>Cross Product Module</t>
  </si>
  <si>
    <t>Active_Scope</t>
  </si>
  <si>
    <t>Schema_Status</t>
  </si>
  <si>
    <t>SOP_Status</t>
  </si>
  <si>
    <t>Enrichment_Status</t>
  </si>
  <si>
    <t>Verification_Status</t>
  </si>
  <si>
    <t>Approved_Status</t>
  </si>
  <si>
    <t>Identify_As_Category</t>
  </si>
  <si>
    <t>Incorrect_Classification</t>
  </si>
  <si>
    <t>To_Be_Classified</t>
  </si>
  <si>
    <t>Done</t>
  </si>
  <si>
    <t>Completed</t>
  </si>
  <si>
    <t>InProgress</t>
  </si>
  <si>
    <t>Yet To start</t>
  </si>
  <si>
    <t>Not Approved</t>
  </si>
  <si>
    <t>Approved</t>
  </si>
  <si>
    <t>Material</t>
  </si>
  <si>
    <t>Specialized</t>
  </si>
  <si>
    <t>Fastners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</si>
</sst>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E9713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2" xfId="0" applyFill="1" applyBorder="1"/>
    <xf numFmtId="0" fontId="4" fillId="0" borderId="2" xfId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/>
    </xf>
    <xf numFmtId="1" fontId="0" fillId="0" borderId="2" xfId="0" applyNumberFormat="1" applyFill="1" applyBorder="1"/>
    <xf numFmtId="0" fontId="1" fillId="0" borderId="2" xfId="0" applyFont="1" applyFill="1" applyBorder="1" applyAlignment="1">
      <alignment horizontal="left" vertical="center"/>
    </xf>
    <xf numFmtId="0" fontId="5" fillId="2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13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18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3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21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7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12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17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2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16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20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1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6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11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5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15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10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19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4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9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14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Relationship Id="rId22" Type="http://schemas.openxmlformats.org/officeDocument/2006/relationships/hyperlink" Target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411A-D048-46D8-9D6B-8F645178FC4C}">
  <dimension ref="A1:L106"/>
  <sheetViews>
    <sheetView tabSelected="1" topLeftCell="B1" workbookViewId="0">
      <selection activeCell="M19" sqref="M19"/>
    </sheetView>
  </sheetViews>
  <sheetFormatPr defaultColWidth="30.5546875" defaultRowHeight="14.4" x14ac:dyDescent="0.3"/>
  <cols>
    <col min="2" max="12" width="16.33203125" customWidth="1"/>
  </cols>
  <sheetData>
    <row r="1" spans="1:12" x14ac:dyDescent="0.3">
      <c r="A1" s="19" t="s">
        <v>32</v>
      </c>
      <c r="B1" s="19" t="s">
        <v>33</v>
      </c>
      <c r="C1" s="19" t="s">
        <v>29</v>
      </c>
      <c r="D1" s="19" t="s">
        <v>36</v>
      </c>
      <c r="E1" s="19" t="s">
        <v>37</v>
      </c>
      <c r="F1" s="19" t="s">
        <v>38</v>
      </c>
      <c r="G1" s="19" t="s">
        <v>39</v>
      </c>
      <c r="H1" s="19" t="s">
        <v>40</v>
      </c>
      <c r="I1" s="19" t="s">
        <v>41</v>
      </c>
      <c r="J1" s="19" t="s">
        <v>42</v>
      </c>
      <c r="K1" s="19" t="s">
        <v>43</v>
      </c>
      <c r="L1" s="19" t="s">
        <v>44</v>
      </c>
    </row>
    <row r="2" spans="1:12" x14ac:dyDescent="0.3">
      <c r="A2" s="13" t="s">
        <v>6</v>
      </c>
      <c r="B2" s="14" t="s">
        <v>34</v>
      </c>
      <c r="C2" s="15" t="s">
        <v>53</v>
      </c>
      <c r="D2" s="12">
        <f>SUM(J2:L2)</f>
        <v>162</v>
      </c>
      <c r="E2" s="12" t="s">
        <v>45</v>
      </c>
      <c r="F2" s="12" t="s">
        <v>45</v>
      </c>
      <c r="G2" s="12" t="s">
        <v>46</v>
      </c>
      <c r="H2" s="12" t="s">
        <v>46</v>
      </c>
      <c r="I2" s="12" t="s">
        <v>50</v>
      </c>
      <c r="J2" s="16">
        <v>111</v>
      </c>
      <c r="K2" s="12">
        <v>50</v>
      </c>
      <c r="L2" s="12">
        <v>1</v>
      </c>
    </row>
    <row r="3" spans="1:12" x14ac:dyDescent="0.3">
      <c r="A3" s="13" t="s">
        <v>13</v>
      </c>
      <c r="B3" s="14" t="s">
        <v>34</v>
      </c>
      <c r="C3" s="15" t="s">
        <v>53</v>
      </c>
      <c r="D3" s="12">
        <f t="shared" ref="D3:D31" si="0">SUM(J3:L3)</f>
        <v>1976</v>
      </c>
      <c r="E3" s="12" t="s">
        <v>45</v>
      </c>
      <c r="F3" s="12" t="s">
        <v>45</v>
      </c>
      <c r="G3" s="12" t="s">
        <v>46</v>
      </c>
      <c r="H3" s="12" t="s">
        <v>46</v>
      </c>
      <c r="I3" s="12" t="s">
        <v>50</v>
      </c>
      <c r="J3" s="16">
        <v>1775</v>
      </c>
      <c r="K3" s="12">
        <v>200</v>
      </c>
      <c r="L3" s="12">
        <v>1</v>
      </c>
    </row>
    <row r="4" spans="1:12" x14ac:dyDescent="0.3">
      <c r="A4" s="13" t="s">
        <v>14</v>
      </c>
      <c r="B4" s="14" t="s">
        <v>34</v>
      </c>
      <c r="C4" s="15" t="s">
        <v>53</v>
      </c>
      <c r="D4" s="12">
        <f t="shared" si="0"/>
        <v>74</v>
      </c>
      <c r="E4" s="12" t="s">
        <v>45</v>
      </c>
      <c r="F4" s="12" t="s">
        <v>45</v>
      </c>
      <c r="G4" s="12" t="s">
        <v>46</v>
      </c>
      <c r="H4" s="12" t="s">
        <v>46</v>
      </c>
      <c r="I4" s="12" t="s">
        <v>50</v>
      </c>
      <c r="J4" s="16">
        <v>62</v>
      </c>
      <c r="K4" s="12">
        <v>12</v>
      </c>
      <c r="L4" s="12">
        <v>0</v>
      </c>
    </row>
    <row r="5" spans="1:12" x14ac:dyDescent="0.3">
      <c r="A5" s="13" t="s">
        <v>11</v>
      </c>
      <c r="B5" s="14" t="s">
        <v>34</v>
      </c>
      <c r="C5" s="15" t="s">
        <v>53</v>
      </c>
      <c r="D5" s="12">
        <f t="shared" si="0"/>
        <v>1795</v>
      </c>
      <c r="E5" s="12" t="s">
        <v>45</v>
      </c>
      <c r="F5" s="12" t="s">
        <v>45</v>
      </c>
      <c r="G5" s="12" t="s">
        <v>46</v>
      </c>
      <c r="H5" s="12" t="s">
        <v>46</v>
      </c>
      <c r="I5" s="12" t="s">
        <v>50</v>
      </c>
      <c r="J5" s="16">
        <v>1735</v>
      </c>
      <c r="K5" s="17">
        <v>60</v>
      </c>
      <c r="L5" s="12">
        <v>0</v>
      </c>
    </row>
    <row r="6" spans="1:12" x14ac:dyDescent="0.3">
      <c r="A6" s="13" t="s">
        <v>12</v>
      </c>
      <c r="B6" s="14" t="s">
        <v>34</v>
      </c>
      <c r="C6" s="15" t="s">
        <v>53</v>
      </c>
      <c r="D6" s="12">
        <f t="shared" si="0"/>
        <v>821</v>
      </c>
      <c r="E6" s="12" t="s">
        <v>45</v>
      </c>
      <c r="F6" s="12" t="s">
        <v>45</v>
      </c>
      <c r="G6" s="12" t="s">
        <v>46</v>
      </c>
      <c r="H6" s="12" t="s">
        <v>46</v>
      </c>
      <c r="I6" s="12" t="s">
        <v>50</v>
      </c>
      <c r="J6" s="16">
        <v>761</v>
      </c>
      <c r="K6" s="17">
        <v>60</v>
      </c>
      <c r="L6" s="12">
        <v>0</v>
      </c>
    </row>
    <row r="7" spans="1:12" x14ac:dyDescent="0.3">
      <c r="A7" s="13" t="s">
        <v>7</v>
      </c>
      <c r="B7" s="14" t="s">
        <v>34</v>
      </c>
      <c r="C7" s="15" t="s">
        <v>53</v>
      </c>
      <c r="D7" s="12">
        <f t="shared" si="0"/>
        <v>988</v>
      </c>
      <c r="E7" s="12" t="s">
        <v>45</v>
      </c>
      <c r="F7" s="12" t="s">
        <v>45</v>
      </c>
      <c r="G7" s="12" t="s">
        <v>46</v>
      </c>
      <c r="H7" s="12" t="s">
        <v>46</v>
      </c>
      <c r="I7" s="12" t="s">
        <v>50</v>
      </c>
      <c r="J7" s="16">
        <v>921</v>
      </c>
      <c r="K7" s="17">
        <v>67</v>
      </c>
      <c r="L7" s="12">
        <v>0</v>
      </c>
    </row>
    <row r="8" spans="1:12" x14ac:dyDescent="0.3">
      <c r="A8" s="13" t="s">
        <v>15</v>
      </c>
      <c r="B8" s="14" t="s">
        <v>34</v>
      </c>
      <c r="C8" s="15" t="s">
        <v>53</v>
      </c>
      <c r="D8" s="12">
        <f t="shared" si="0"/>
        <v>364</v>
      </c>
      <c r="E8" s="12" t="s">
        <v>45</v>
      </c>
      <c r="F8" s="12" t="s">
        <v>45</v>
      </c>
      <c r="G8" s="12" t="s">
        <v>46</v>
      </c>
      <c r="H8" s="12" t="s">
        <v>46</v>
      </c>
      <c r="I8" s="12" t="s">
        <v>50</v>
      </c>
      <c r="J8" s="16">
        <v>294</v>
      </c>
      <c r="K8" s="17">
        <v>70</v>
      </c>
      <c r="L8" s="12">
        <v>0</v>
      </c>
    </row>
    <row r="9" spans="1:12" x14ac:dyDescent="0.3">
      <c r="A9" s="13" t="s">
        <v>0</v>
      </c>
      <c r="B9" s="14" t="s">
        <v>34</v>
      </c>
      <c r="C9" s="15" t="s">
        <v>53</v>
      </c>
      <c r="D9" s="12">
        <f t="shared" si="0"/>
        <v>4337</v>
      </c>
      <c r="E9" s="12" t="s">
        <v>45</v>
      </c>
      <c r="F9" s="12" t="s">
        <v>45</v>
      </c>
      <c r="G9" s="12" t="s">
        <v>46</v>
      </c>
      <c r="H9" s="12" t="s">
        <v>46</v>
      </c>
      <c r="I9" s="12" t="s">
        <v>50</v>
      </c>
      <c r="J9" s="16">
        <v>3906</v>
      </c>
      <c r="K9" s="17">
        <v>431</v>
      </c>
      <c r="L9" s="12">
        <v>0</v>
      </c>
    </row>
    <row r="10" spans="1:12" x14ac:dyDescent="0.3">
      <c r="A10" s="13" t="s">
        <v>10</v>
      </c>
      <c r="B10" s="14" t="s">
        <v>34</v>
      </c>
      <c r="C10" s="18" t="s">
        <v>31</v>
      </c>
      <c r="D10" s="12">
        <f t="shared" si="0"/>
        <v>404</v>
      </c>
      <c r="E10" s="12" t="s">
        <v>45</v>
      </c>
      <c r="F10" s="12" t="s">
        <v>45</v>
      </c>
      <c r="G10" s="12" t="s">
        <v>46</v>
      </c>
      <c r="H10" s="12" t="s">
        <v>46</v>
      </c>
      <c r="I10" s="12" t="s">
        <v>50</v>
      </c>
      <c r="J10" s="16">
        <v>362</v>
      </c>
      <c r="K10" s="17">
        <v>42</v>
      </c>
      <c r="L10" s="12">
        <v>0</v>
      </c>
    </row>
    <row r="11" spans="1:12" x14ac:dyDescent="0.3">
      <c r="A11" s="13" t="s">
        <v>1</v>
      </c>
      <c r="B11" s="14" t="s">
        <v>34</v>
      </c>
      <c r="C11" s="15" t="s">
        <v>51</v>
      </c>
      <c r="D11" s="12">
        <f t="shared" si="0"/>
        <v>222</v>
      </c>
      <c r="E11" s="12" t="s">
        <v>45</v>
      </c>
      <c r="F11" s="12" t="s">
        <v>45</v>
      </c>
      <c r="G11" s="12" t="s">
        <v>46</v>
      </c>
      <c r="H11" s="12" t="s">
        <v>46</v>
      </c>
      <c r="I11" s="12" t="s">
        <v>50</v>
      </c>
      <c r="J11" s="16">
        <v>126</v>
      </c>
      <c r="K11" s="17">
        <f>J11-30</f>
        <v>96</v>
      </c>
      <c r="L11" s="12">
        <v>0</v>
      </c>
    </row>
    <row r="12" spans="1:12" x14ac:dyDescent="0.3">
      <c r="A12" s="13" t="s">
        <v>5</v>
      </c>
      <c r="B12" s="14" t="s">
        <v>34</v>
      </c>
      <c r="C12" s="18" t="s">
        <v>30</v>
      </c>
      <c r="D12" s="12">
        <f t="shared" si="0"/>
        <v>2632</v>
      </c>
      <c r="E12" s="12" t="s">
        <v>45</v>
      </c>
      <c r="F12" s="12" t="s">
        <v>45</v>
      </c>
      <c r="G12" s="12" t="s">
        <v>46</v>
      </c>
      <c r="H12" s="12" t="s">
        <v>46</v>
      </c>
      <c r="I12" s="12" t="s">
        <v>50</v>
      </c>
      <c r="J12" s="16">
        <v>2413</v>
      </c>
      <c r="K12" s="17">
        <v>215</v>
      </c>
      <c r="L12" s="12">
        <v>4</v>
      </c>
    </row>
    <row r="13" spans="1:12" x14ac:dyDescent="0.3">
      <c r="A13" s="13" t="s">
        <v>8</v>
      </c>
      <c r="B13" s="14" t="s">
        <v>35</v>
      </c>
      <c r="C13" s="18" t="s">
        <v>30</v>
      </c>
      <c r="D13" s="12">
        <f t="shared" si="0"/>
        <v>1202</v>
      </c>
      <c r="E13" s="12" t="s">
        <v>45</v>
      </c>
      <c r="F13" s="12" t="s">
        <v>45</v>
      </c>
      <c r="G13" s="12" t="s">
        <v>46</v>
      </c>
      <c r="H13" s="12" t="s">
        <v>46</v>
      </c>
      <c r="I13" s="12" t="s">
        <v>50</v>
      </c>
      <c r="J13" s="16">
        <v>882</v>
      </c>
      <c r="K13" s="17">
        <v>320</v>
      </c>
      <c r="L13" s="12">
        <v>0</v>
      </c>
    </row>
    <row r="14" spans="1:12" x14ac:dyDescent="0.3">
      <c r="A14" s="14" t="s">
        <v>17</v>
      </c>
      <c r="B14" s="14" t="s">
        <v>35</v>
      </c>
      <c r="C14" s="18" t="s">
        <v>52</v>
      </c>
      <c r="D14" s="12">
        <f t="shared" si="0"/>
        <v>2027</v>
      </c>
      <c r="E14" s="12" t="s">
        <v>45</v>
      </c>
      <c r="F14" s="12" t="s">
        <v>45</v>
      </c>
      <c r="G14" s="12" t="s">
        <v>46</v>
      </c>
      <c r="H14" s="12" t="s">
        <v>46</v>
      </c>
      <c r="I14" s="12" t="s">
        <v>50</v>
      </c>
      <c r="J14" s="16">
        <v>1985</v>
      </c>
      <c r="K14" s="17">
        <v>42</v>
      </c>
      <c r="L14" s="12">
        <v>0</v>
      </c>
    </row>
    <row r="15" spans="1:12" x14ac:dyDescent="0.3">
      <c r="A15" s="14" t="s">
        <v>19</v>
      </c>
      <c r="B15" s="14" t="s">
        <v>35</v>
      </c>
      <c r="C15" s="18" t="s">
        <v>52</v>
      </c>
      <c r="D15" s="12">
        <f t="shared" si="0"/>
        <v>1793</v>
      </c>
      <c r="E15" s="12" t="s">
        <v>45</v>
      </c>
      <c r="F15" s="12" t="s">
        <v>45</v>
      </c>
      <c r="G15" s="12" t="s">
        <v>46</v>
      </c>
      <c r="H15" s="12" t="s">
        <v>46</v>
      </c>
      <c r="I15" s="12" t="s">
        <v>50</v>
      </c>
      <c r="J15" s="16">
        <v>1643</v>
      </c>
      <c r="K15" s="17">
        <v>150</v>
      </c>
      <c r="L15" s="12">
        <v>0</v>
      </c>
    </row>
    <row r="16" spans="1:12" x14ac:dyDescent="0.3">
      <c r="A16" s="14" t="s">
        <v>18</v>
      </c>
      <c r="B16" s="14" t="s">
        <v>35</v>
      </c>
      <c r="C16" s="18" t="s">
        <v>52</v>
      </c>
      <c r="D16" s="12">
        <f t="shared" si="0"/>
        <v>3349</v>
      </c>
      <c r="E16" s="12" t="s">
        <v>45</v>
      </c>
      <c r="F16" s="12" t="s">
        <v>45</v>
      </c>
      <c r="G16" s="12" t="s">
        <v>46</v>
      </c>
      <c r="H16" s="12" t="s">
        <v>46</v>
      </c>
      <c r="I16" s="12" t="s">
        <v>50</v>
      </c>
      <c r="J16" s="16">
        <v>2749</v>
      </c>
      <c r="K16" s="17">
        <v>596</v>
      </c>
      <c r="L16" s="12">
        <v>4</v>
      </c>
    </row>
    <row r="17" spans="1:12" x14ac:dyDescent="0.3">
      <c r="A17" s="14" t="s">
        <v>3</v>
      </c>
      <c r="B17" s="14" t="s">
        <v>35</v>
      </c>
      <c r="C17" s="18" t="s">
        <v>52</v>
      </c>
      <c r="D17" s="12">
        <f t="shared" si="0"/>
        <v>76</v>
      </c>
      <c r="E17" s="12" t="s">
        <v>45</v>
      </c>
      <c r="F17" s="12" t="s">
        <v>45</v>
      </c>
      <c r="G17" s="12" t="s">
        <v>46</v>
      </c>
      <c r="H17" s="12" t="s">
        <v>46</v>
      </c>
      <c r="I17" s="12" t="s">
        <v>50</v>
      </c>
      <c r="J17" s="16">
        <v>53</v>
      </c>
      <c r="K17" s="17">
        <f>J17-30</f>
        <v>23</v>
      </c>
      <c r="L17" s="12">
        <v>0</v>
      </c>
    </row>
    <row r="18" spans="1:12" x14ac:dyDescent="0.3">
      <c r="A18" s="14" t="s">
        <v>21</v>
      </c>
      <c r="B18" s="14" t="s">
        <v>35</v>
      </c>
      <c r="C18" s="18" t="s">
        <v>52</v>
      </c>
      <c r="D18" s="12">
        <f t="shared" si="0"/>
        <v>96</v>
      </c>
      <c r="E18" s="12" t="s">
        <v>45</v>
      </c>
      <c r="F18" s="12" t="s">
        <v>45</v>
      </c>
      <c r="G18" s="12" t="s">
        <v>46</v>
      </c>
      <c r="H18" s="12" t="s">
        <v>46</v>
      </c>
      <c r="I18" s="12" t="s">
        <v>50</v>
      </c>
      <c r="J18" s="16">
        <v>63</v>
      </c>
      <c r="K18" s="17">
        <f>J18-30</f>
        <v>33</v>
      </c>
      <c r="L18" s="12">
        <v>0</v>
      </c>
    </row>
    <row r="19" spans="1:12" x14ac:dyDescent="0.3">
      <c r="A19" s="14" t="s">
        <v>16</v>
      </c>
      <c r="B19" s="14" t="s">
        <v>35</v>
      </c>
      <c r="C19" s="18" t="s">
        <v>52</v>
      </c>
      <c r="D19" s="12">
        <f t="shared" si="0"/>
        <v>178</v>
      </c>
      <c r="E19" s="12" t="s">
        <v>45</v>
      </c>
      <c r="F19" s="12" t="s">
        <v>45</v>
      </c>
      <c r="G19" s="12" t="s">
        <v>46</v>
      </c>
      <c r="H19" s="12" t="s">
        <v>46</v>
      </c>
      <c r="I19" s="12" t="s">
        <v>50</v>
      </c>
      <c r="J19" s="16">
        <v>104</v>
      </c>
      <c r="K19" s="17">
        <f>J19-30</f>
        <v>74</v>
      </c>
      <c r="L19" s="12">
        <v>0</v>
      </c>
    </row>
    <row r="20" spans="1:12" x14ac:dyDescent="0.3">
      <c r="A20" s="13" t="s">
        <v>4</v>
      </c>
      <c r="B20" s="14" t="s">
        <v>34</v>
      </c>
      <c r="C20" s="18" t="s">
        <v>31</v>
      </c>
      <c r="D20" s="12">
        <f t="shared" si="0"/>
        <v>96</v>
      </c>
      <c r="E20" s="12" t="s">
        <v>45</v>
      </c>
      <c r="F20" s="12" t="s">
        <v>45</v>
      </c>
      <c r="G20" s="12" t="s">
        <v>46</v>
      </c>
      <c r="H20" s="12" t="s">
        <v>46</v>
      </c>
      <c r="I20" s="12" t="s">
        <v>50</v>
      </c>
      <c r="J20" s="16">
        <v>63</v>
      </c>
      <c r="K20" s="17">
        <f>J20-30</f>
        <v>33</v>
      </c>
      <c r="L20" s="12">
        <v>0</v>
      </c>
    </row>
    <row r="21" spans="1:12" x14ac:dyDescent="0.3">
      <c r="A21" s="13" t="s">
        <v>9</v>
      </c>
      <c r="B21" s="14" t="s">
        <v>34</v>
      </c>
      <c r="C21" s="18" t="s">
        <v>31</v>
      </c>
      <c r="D21" s="12">
        <f t="shared" si="0"/>
        <v>2351</v>
      </c>
      <c r="E21" s="12" t="s">
        <v>45</v>
      </c>
      <c r="F21" s="12" t="s">
        <v>45</v>
      </c>
      <c r="G21" s="12" t="s">
        <v>46</v>
      </c>
      <c r="H21" s="12" t="s">
        <v>46</v>
      </c>
      <c r="I21" s="12" t="s">
        <v>50</v>
      </c>
      <c r="J21" s="16">
        <v>2047</v>
      </c>
      <c r="K21" s="17">
        <v>300</v>
      </c>
      <c r="L21" s="12">
        <v>4</v>
      </c>
    </row>
    <row r="22" spans="1:12" x14ac:dyDescent="0.3">
      <c r="A22" s="13" t="s">
        <v>2</v>
      </c>
      <c r="B22" s="14" t="s">
        <v>34</v>
      </c>
      <c r="C22" s="18" t="s">
        <v>31</v>
      </c>
      <c r="D22" s="12">
        <f t="shared" si="0"/>
        <v>522</v>
      </c>
      <c r="E22" s="12" t="s">
        <v>45</v>
      </c>
      <c r="F22" s="12" t="s">
        <v>45</v>
      </c>
      <c r="G22" s="12" t="s">
        <v>46</v>
      </c>
      <c r="H22" s="12" t="s">
        <v>46</v>
      </c>
      <c r="I22" s="12" t="s">
        <v>50</v>
      </c>
      <c r="J22" s="16">
        <v>470</v>
      </c>
      <c r="K22" s="17">
        <v>52</v>
      </c>
      <c r="L22" s="12">
        <v>0</v>
      </c>
    </row>
    <row r="23" spans="1:12" x14ac:dyDescent="0.3">
      <c r="A23" s="13" t="s">
        <v>26</v>
      </c>
      <c r="B23" s="14" t="s">
        <v>35</v>
      </c>
      <c r="C23" s="18" t="s">
        <v>31</v>
      </c>
      <c r="D23" s="12">
        <f t="shared" si="0"/>
        <v>451</v>
      </c>
      <c r="E23" s="12" t="s">
        <v>45</v>
      </c>
      <c r="F23" s="12" t="s">
        <v>45</v>
      </c>
      <c r="G23" s="12" t="s">
        <v>47</v>
      </c>
      <c r="H23" s="12" t="s">
        <v>48</v>
      </c>
      <c r="I23" s="12" t="s">
        <v>49</v>
      </c>
      <c r="J23" s="16">
        <v>409</v>
      </c>
      <c r="K23" s="17">
        <v>42</v>
      </c>
      <c r="L23" s="12">
        <v>0</v>
      </c>
    </row>
    <row r="24" spans="1:12" x14ac:dyDescent="0.3">
      <c r="A24" s="13" t="s">
        <v>24</v>
      </c>
      <c r="B24" s="14" t="s">
        <v>35</v>
      </c>
      <c r="C24" s="18" t="s">
        <v>31</v>
      </c>
      <c r="D24" s="12">
        <f t="shared" si="0"/>
        <v>1301</v>
      </c>
      <c r="E24" s="12" t="s">
        <v>45</v>
      </c>
      <c r="F24" s="12" t="s">
        <v>45</v>
      </c>
      <c r="G24" s="12" t="s">
        <v>46</v>
      </c>
      <c r="H24" s="12" t="s">
        <v>46</v>
      </c>
      <c r="I24" s="12" t="s">
        <v>50</v>
      </c>
      <c r="J24" s="16">
        <v>980</v>
      </c>
      <c r="K24" s="17">
        <v>321</v>
      </c>
      <c r="L24" s="12">
        <v>0</v>
      </c>
    </row>
    <row r="25" spans="1:12" x14ac:dyDescent="0.3">
      <c r="A25" s="13" t="s">
        <v>25</v>
      </c>
      <c r="B25" s="14" t="s">
        <v>35</v>
      </c>
      <c r="C25" s="18" t="s">
        <v>31</v>
      </c>
      <c r="D25" s="12">
        <f t="shared" si="0"/>
        <v>2644</v>
      </c>
      <c r="E25" s="12" t="s">
        <v>45</v>
      </c>
      <c r="F25" s="12" t="s">
        <v>45</v>
      </c>
      <c r="G25" s="12" t="s">
        <v>47</v>
      </c>
      <c r="H25" s="12" t="s">
        <v>48</v>
      </c>
      <c r="I25" s="12" t="s">
        <v>49</v>
      </c>
      <c r="J25" s="16">
        <v>2077</v>
      </c>
      <c r="K25" s="17">
        <v>567</v>
      </c>
      <c r="L25" s="12">
        <v>0</v>
      </c>
    </row>
    <row r="26" spans="1:12" x14ac:dyDescent="0.3">
      <c r="A26" s="13" t="s">
        <v>27</v>
      </c>
      <c r="B26" s="14" t="s">
        <v>35</v>
      </c>
      <c r="C26" s="18" t="s">
        <v>31</v>
      </c>
      <c r="D26" s="12">
        <f t="shared" si="0"/>
        <v>975</v>
      </c>
      <c r="E26" s="12" t="s">
        <v>45</v>
      </c>
      <c r="F26" s="12" t="s">
        <v>45</v>
      </c>
      <c r="G26" s="12" t="s">
        <v>47</v>
      </c>
      <c r="H26" s="12" t="s">
        <v>48</v>
      </c>
      <c r="I26" s="12" t="s">
        <v>49</v>
      </c>
      <c r="J26" s="16">
        <v>760</v>
      </c>
      <c r="K26" s="17">
        <v>214</v>
      </c>
      <c r="L26" s="12">
        <v>1</v>
      </c>
    </row>
    <row r="27" spans="1:12" x14ac:dyDescent="0.3">
      <c r="A27" s="13" t="s">
        <v>22</v>
      </c>
      <c r="B27" s="14" t="s">
        <v>35</v>
      </c>
      <c r="C27" s="18" t="s">
        <v>31</v>
      </c>
      <c r="D27" s="12">
        <f t="shared" si="0"/>
        <v>477</v>
      </c>
      <c r="E27" s="12" t="s">
        <v>45</v>
      </c>
      <c r="F27" s="12" t="s">
        <v>45</v>
      </c>
      <c r="G27" s="12" t="s">
        <v>47</v>
      </c>
      <c r="H27" s="12" t="s">
        <v>48</v>
      </c>
      <c r="I27" s="12" t="s">
        <v>49</v>
      </c>
      <c r="J27" s="16">
        <v>414</v>
      </c>
      <c r="K27" s="17">
        <v>63</v>
      </c>
      <c r="L27" s="12">
        <v>0</v>
      </c>
    </row>
    <row r="28" spans="1:12" x14ac:dyDescent="0.3">
      <c r="A28" s="13" t="s">
        <v>28</v>
      </c>
      <c r="B28" s="14" t="s">
        <v>35</v>
      </c>
      <c r="C28" s="18" t="s">
        <v>31</v>
      </c>
      <c r="D28" s="12">
        <f t="shared" si="0"/>
        <v>1535</v>
      </c>
      <c r="E28" s="12" t="s">
        <v>45</v>
      </c>
      <c r="F28" s="12" t="s">
        <v>45</v>
      </c>
      <c r="G28" s="12" t="s">
        <v>46</v>
      </c>
      <c r="H28" s="12" t="s">
        <v>46</v>
      </c>
      <c r="I28" s="12" t="s">
        <v>50</v>
      </c>
      <c r="J28" s="16">
        <v>1005</v>
      </c>
      <c r="K28" s="17">
        <v>530</v>
      </c>
      <c r="L28" s="12">
        <v>0</v>
      </c>
    </row>
    <row r="29" spans="1:12" x14ac:dyDescent="0.3">
      <c r="A29" s="13" t="s">
        <v>23</v>
      </c>
      <c r="B29" s="14" t="s">
        <v>35</v>
      </c>
      <c r="C29" s="18" t="s">
        <v>31</v>
      </c>
      <c r="D29" s="12">
        <f t="shared" si="0"/>
        <v>2727</v>
      </c>
      <c r="E29" s="12" t="s">
        <v>45</v>
      </c>
      <c r="F29" s="12" t="s">
        <v>45</v>
      </c>
      <c r="G29" s="12" t="s">
        <v>47</v>
      </c>
      <c r="H29" s="12" t="s">
        <v>48</v>
      </c>
      <c r="I29" s="12" t="s">
        <v>49</v>
      </c>
      <c r="J29" s="16">
        <v>2271</v>
      </c>
      <c r="K29" s="17">
        <v>456</v>
      </c>
      <c r="L29" s="12">
        <v>0</v>
      </c>
    </row>
    <row r="30" spans="1:12" x14ac:dyDescent="0.3">
      <c r="A30" s="14" t="s">
        <v>20</v>
      </c>
      <c r="B30" s="14" t="s">
        <v>35</v>
      </c>
      <c r="C30" s="18" t="s">
        <v>31</v>
      </c>
      <c r="D30" s="12">
        <f t="shared" si="0"/>
        <v>960</v>
      </c>
      <c r="E30" s="12" t="s">
        <v>45</v>
      </c>
      <c r="F30" s="12" t="s">
        <v>45</v>
      </c>
      <c r="G30" s="12" t="s">
        <v>46</v>
      </c>
      <c r="H30" s="12" t="s">
        <v>46</v>
      </c>
      <c r="I30" s="12" t="s">
        <v>50</v>
      </c>
      <c r="J30" s="16">
        <v>747</v>
      </c>
      <c r="K30" s="17">
        <v>213</v>
      </c>
      <c r="L30" s="12">
        <v>0</v>
      </c>
    </row>
    <row r="31" spans="1:12" x14ac:dyDescent="0.3">
      <c r="A31" s="3"/>
      <c r="B31" s="8"/>
      <c r="C31" s="8"/>
    </row>
    <row r="32" spans="1:12" x14ac:dyDescent="0.3">
      <c r="A32" s="3"/>
      <c r="B32" s="8"/>
      <c r="C32" s="8"/>
    </row>
    <row r="33" spans="1:3" x14ac:dyDescent="0.3">
      <c r="A33" s="2"/>
      <c r="B33" s="8"/>
      <c r="C33" s="8"/>
    </row>
    <row r="34" spans="1:3" x14ac:dyDescent="0.3">
      <c r="A34" s="3"/>
      <c r="B34" s="8"/>
      <c r="C34" s="8"/>
    </row>
    <row r="35" spans="1:3" x14ac:dyDescent="0.3">
      <c r="A35" s="2"/>
      <c r="B35" s="8"/>
      <c r="C35" s="8"/>
    </row>
    <row r="36" spans="1:3" x14ac:dyDescent="0.3">
      <c r="A36" s="2"/>
      <c r="B36" s="8"/>
      <c r="C36" s="8"/>
    </row>
    <row r="37" spans="1:3" x14ac:dyDescent="0.3">
      <c r="A37" s="2"/>
      <c r="B37" s="8"/>
      <c r="C37" s="8"/>
    </row>
    <row r="38" spans="1:3" x14ac:dyDescent="0.3">
      <c r="A38" s="3"/>
      <c r="B38" s="8"/>
      <c r="C38" s="8"/>
    </row>
    <row r="39" spans="1:3" x14ac:dyDescent="0.3">
      <c r="A39" s="3"/>
      <c r="B39" s="8"/>
      <c r="C39" s="8"/>
    </row>
    <row r="40" spans="1:3" x14ac:dyDescent="0.3">
      <c r="A40" s="3"/>
      <c r="B40" s="8"/>
      <c r="C40" s="8"/>
    </row>
    <row r="41" spans="1:3" x14ac:dyDescent="0.3">
      <c r="A41" s="3"/>
      <c r="B41" s="8"/>
      <c r="C41" s="8"/>
    </row>
    <row r="42" spans="1:3" x14ac:dyDescent="0.3">
      <c r="A42" s="3"/>
      <c r="B42" s="8"/>
      <c r="C42" s="8"/>
    </row>
    <row r="43" spans="1:3" x14ac:dyDescent="0.3">
      <c r="A43" s="3"/>
      <c r="B43" s="8"/>
      <c r="C43" s="8"/>
    </row>
    <row r="44" spans="1:3" x14ac:dyDescent="0.3">
      <c r="A44" s="3"/>
      <c r="B44" s="8"/>
      <c r="C44" s="8"/>
    </row>
    <row r="45" spans="1:3" x14ac:dyDescent="0.3">
      <c r="A45" s="3"/>
      <c r="B45" s="8"/>
      <c r="C45" s="8"/>
    </row>
    <row r="46" spans="1:3" x14ac:dyDescent="0.3">
      <c r="A46" s="3"/>
      <c r="B46" s="8"/>
      <c r="C46" s="8"/>
    </row>
    <row r="47" spans="1:3" x14ac:dyDescent="0.3">
      <c r="A47" s="3"/>
      <c r="B47" s="8"/>
      <c r="C47" s="8"/>
    </row>
    <row r="48" spans="1:3" x14ac:dyDescent="0.3">
      <c r="A48" s="4"/>
      <c r="B48" s="9"/>
      <c r="C48" s="8"/>
    </row>
    <row r="49" spans="1:3" x14ac:dyDescent="0.3">
      <c r="A49" s="3"/>
      <c r="B49" s="8"/>
      <c r="C49" s="8"/>
    </row>
    <row r="50" spans="1:3" x14ac:dyDescent="0.3">
      <c r="A50" s="3"/>
      <c r="B50" s="8"/>
      <c r="C50" s="8"/>
    </row>
    <row r="51" spans="1:3" x14ac:dyDescent="0.3">
      <c r="A51" s="2"/>
      <c r="B51" s="8"/>
      <c r="C51" s="8"/>
    </row>
    <row r="52" spans="1:3" x14ac:dyDescent="0.3">
      <c r="A52" s="3"/>
      <c r="B52" s="8"/>
      <c r="C52" s="8"/>
    </row>
    <row r="53" spans="1:3" x14ac:dyDescent="0.3">
      <c r="A53" s="3"/>
      <c r="B53" s="8"/>
      <c r="C53" s="8"/>
    </row>
    <row r="54" spans="1:3" x14ac:dyDescent="0.3">
      <c r="A54" s="3"/>
      <c r="B54" s="8"/>
      <c r="C54" s="8"/>
    </row>
    <row r="55" spans="1:3" x14ac:dyDescent="0.3">
      <c r="A55" s="2"/>
      <c r="B55" s="8"/>
      <c r="C55" s="8"/>
    </row>
    <row r="56" spans="1:3" x14ac:dyDescent="0.3">
      <c r="A56" s="2"/>
      <c r="B56" s="8"/>
      <c r="C56" s="8"/>
    </row>
    <row r="57" spans="1:3" x14ac:dyDescent="0.3">
      <c r="A57" s="2"/>
      <c r="B57" s="8"/>
      <c r="C57" s="8"/>
    </row>
    <row r="58" spans="1:3" x14ac:dyDescent="0.3">
      <c r="A58" s="2"/>
      <c r="B58" s="8"/>
      <c r="C58" s="8"/>
    </row>
    <row r="59" spans="1:3" x14ac:dyDescent="0.3">
      <c r="A59" s="2"/>
      <c r="B59" s="8"/>
      <c r="C59" s="8"/>
    </row>
    <row r="60" spans="1:3" x14ac:dyDescent="0.3">
      <c r="A60" s="2"/>
      <c r="B60" s="8"/>
      <c r="C60" s="8"/>
    </row>
    <row r="61" spans="1:3" x14ac:dyDescent="0.3">
      <c r="A61" s="2"/>
      <c r="B61" s="8"/>
      <c r="C61" s="8"/>
    </row>
    <row r="62" spans="1:3" x14ac:dyDescent="0.3">
      <c r="A62" s="5"/>
      <c r="B62" s="8"/>
      <c r="C62" s="8"/>
    </row>
    <row r="63" spans="1:3" x14ac:dyDescent="0.3">
      <c r="A63" s="2"/>
      <c r="B63" s="8"/>
      <c r="C63" s="8"/>
    </row>
    <row r="64" spans="1:3" x14ac:dyDescent="0.3">
      <c r="A64" s="2"/>
      <c r="B64" s="8"/>
      <c r="C64" s="8"/>
    </row>
    <row r="65" spans="1:3" x14ac:dyDescent="0.3">
      <c r="A65" s="2"/>
      <c r="B65" s="8"/>
      <c r="C65" s="8"/>
    </row>
    <row r="66" spans="1:3" x14ac:dyDescent="0.3">
      <c r="A66" s="2"/>
      <c r="B66" s="8"/>
      <c r="C66" s="8"/>
    </row>
    <row r="67" spans="1:3" x14ac:dyDescent="0.3">
      <c r="A67" s="2"/>
      <c r="B67" s="8"/>
      <c r="C67" s="8"/>
    </row>
    <row r="68" spans="1:3" x14ac:dyDescent="0.3">
      <c r="A68" s="2"/>
      <c r="B68" s="8"/>
      <c r="C68" s="8"/>
    </row>
    <row r="69" spans="1:3" x14ac:dyDescent="0.3">
      <c r="A69" s="2"/>
      <c r="B69" s="8"/>
      <c r="C69" s="8"/>
    </row>
    <row r="70" spans="1:3" x14ac:dyDescent="0.3">
      <c r="A70" s="2"/>
      <c r="B70" s="8"/>
      <c r="C70" s="8"/>
    </row>
    <row r="71" spans="1:3" x14ac:dyDescent="0.3">
      <c r="A71" s="3"/>
      <c r="B71" s="8"/>
      <c r="C71" s="8"/>
    </row>
    <row r="72" spans="1:3" x14ac:dyDescent="0.3">
      <c r="A72" s="3"/>
      <c r="B72" s="8"/>
      <c r="C72" s="8"/>
    </row>
    <row r="73" spans="1:3" x14ac:dyDescent="0.3">
      <c r="A73" s="1"/>
      <c r="B73" s="8"/>
      <c r="C73" s="8"/>
    </row>
    <row r="74" spans="1:3" x14ac:dyDescent="0.3">
      <c r="A74" s="1"/>
      <c r="B74" s="8"/>
      <c r="C74" s="8"/>
    </row>
    <row r="75" spans="1:3" x14ac:dyDescent="0.3">
      <c r="A75" s="3"/>
      <c r="B75" s="8"/>
      <c r="C75" s="8"/>
    </row>
    <row r="76" spans="1:3" x14ac:dyDescent="0.3">
      <c r="A76" s="3"/>
      <c r="B76" s="8"/>
      <c r="C76" s="8"/>
    </row>
    <row r="77" spans="1:3" x14ac:dyDescent="0.3">
      <c r="A77" s="6"/>
      <c r="B77" s="8"/>
      <c r="C77" s="8"/>
    </row>
    <row r="78" spans="1:3" x14ac:dyDescent="0.3">
      <c r="A78" s="3"/>
      <c r="B78" s="8"/>
      <c r="C78" s="8"/>
    </row>
    <row r="79" spans="1:3" x14ac:dyDescent="0.3">
      <c r="A79" s="7"/>
      <c r="B79" s="8"/>
      <c r="C79" s="8"/>
    </row>
    <row r="80" spans="1:3" x14ac:dyDescent="0.3">
      <c r="A80" s="7"/>
      <c r="B80" s="8"/>
      <c r="C80" s="8"/>
    </row>
    <row r="81" spans="1:3" x14ac:dyDescent="0.3">
      <c r="A81" s="6"/>
      <c r="B81" s="8"/>
      <c r="C81" s="8"/>
    </row>
    <row r="82" spans="1:3" x14ac:dyDescent="0.3">
      <c r="A82" s="1"/>
      <c r="B82" s="10"/>
      <c r="C82" s="8"/>
    </row>
    <row r="83" spans="1:3" x14ac:dyDescent="0.3">
      <c r="A83" s="3"/>
      <c r="B83" s="8"/>
      <c r="C83" s="8"/>
    </row>
    <row r="84" spans="1:3" x14ac:dyDescent="0.3">
      <c r="A84" s="2"/>
      <c r="B84" s="8"/>
      <c r="C84" s="8"/>
    </row>
    <row r="85" spans="1:3" x14ac:dyDescent="0.3">
      <c r="A85" s="2"/>
      <c r="B85" s="8"/>
      <c r="C85" s="8"/>
    </row>
    <row r="86" spans="1:3" x14ac:dyDescent="0.3">
      <c r="A86" s="2"/>
      <c r="B86" s="8"/>
      <c r="C86" s="8"/>
    </row>
    <row r="87" spans="1:3" x14ac:dyDescent="0.3">
      <c r="A87" s="2"/>
      <c r="B87" s="8"/>
      <c r="C87" s="8"/>
    </row>
    <row r="88" spans="1:3" x14ac:dyDescent="0.3">
      <c r="A88" s="2"/>
      <c r="B88" s="8"/>
      <c r="C88" s="8"/>
    </row>
    <row r="89" spans="1:3" x14ac:dyDescent="0.3">
      <c r="A89" s="3"/>
      <c r="B89" s="8"/>
      <c r="C89" s="8"/>
    </row>
    <row r="90" spans="1:3" x14ac:dyDescent="0.3">
      <c r="A90" s="3"/>
      <c r="B90" s="8"/>
      <c r="C90" s="8"/>
    </row>
    <row r="91" spans="1:3" x14ac:dyDescent="0.3">
      <c r="A91" s="3"/>
      <c r="B91" s="8"/>
      <c r="C91" s="8"/>
    </row>
    <row r="92" spans="1:3" x14ac:dyDescent="0.3">
      <c r="A92" s="3"/>
      <c r="B92" s="8"/>
      <c r="C92" s="8"/>
    </row>
    <row r="93" spans="1:3" x14ac:dyDescent="0.3">
      <c r="A93" s="3"/>
      <c r="B93" s="8"/>
      <c r="C93" s="8"/>
    </row>
    <row r="94" spans="1:3" x14ac:dyDescent="0.3">
      <c r="A94" s="3"/>
      <c r="B94" s="8"/>
      <c r="C94" s="8"/>
    </row>
    <row r="95" spans="1:3" x14ac:dyDescent="0.3">
      <c r="A95" s="3"/>
      <c r="B95" s="8"/>
      <c r="C95" s="8"/>
    </row>
    <row r="96" spans="1:3" x14ac:dyDescent="0.3">
      <c r="A96" s="3"/>
      <c r="B96" s="8"/>
      <c r="C96" s="8"/>
    </row>
    <row r="97" spans="1:3" x14ac:dyDescent="0.3">
      <c r="A97" s="3"/>
      <c r="B97" s="8"/>
      <c r="C97" s="8"/>
    </row>
    <row r="98" spans="1:3" x14ac:dyDescent="0.3">
      <c r="A98" s="3"/>
      <c r="B98" s="8"/>
      <c r="C98" s="8"/>
    </row>
    <row r="99" spans="1:3" x14ac:dyDescent="0.3">
      <c r="A99" s="3"/>
      <c r="B99" s="8"/>
      <c r="C99" s="8"/>
    </row>
    <row r="100" spans="1:3" x14ac:dyDescent="0.3">
      <c r="A100" s="3"/>
      <c r="B100" s="8"/>
      <c r="C100" s="8"/>
    </row>
    <row r="101" spans="1:3" x14ac:dyDescent="0.3">
      <c r="A101" s="2"/>
      <c r="B101" s="8"/>
      <c r="C101" s="8"/>
    </row>
    <row r="102" spans="1:3" x14ac:dyDescent="0.3">
      <c r="A102" s="7"/>
      <c r="B102" s="8"/>
      <c r="C102" s="8"/>
    </row>
    <row r="103" spans="1:3" x14ac:dyDescent="0.3">
      <c r="A103" s="3"/>
      <c r="B103" s="11"/>
    </row>
    <row r="104" spans="1:3" x14ac:dyDescent="0.3">
      <c r="A104" s="3"/>
      <c r="B104" s="8"/>
    </row>
    <row r="105" spans="1:3" x14ac:dyDescent="0.3">
      <c r="A105" s="3"/>
    </row>
    <row r="106" spans="1:3" x14ac:dyDescent="0.3">
      <c r="A106" s="3"/>
    </row>
  </sheetData>
  <hyperlinks>
    <hyperlink ref="A2" r:id="rId1" location="Rivets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Rivets!A1" xr:uid="{25B72310-13EA-4094-AC83-245E514AC41E}"/>
    <hyperlink ref="A3" r:id="rId2" location="Nuts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Nuts!A1" xr:uid="{61BC7FA7-860C-4E68-A1DD-FED231D055EB}"/>
    <hyperlink ref="A4" r:id="rId3" location="Washer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Washer!A1" xr:uid="{F9998B12-7BDC-46CB-B3F7-3138E92FE788}"/>
    <hyperlink ref="A5" r:id="rId4" location="Pins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Pins!A1" xr:uid="{64318F10-E58D-4A2F-BD92-887E59B5B529}"/>
    <hyperlink ref="A6" r:id="rId5" location="Bearings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Bearings!A1" xr:uid="{3563B8D5-846F-4B6E-A10E-258936F81A7C}"/>
    <hyperlink ref="A7" r:id="rId6" location="Studs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Studs!A1" xr:uid="{E11E8111-D817-4E60-A967-39248769DDA9}"/>
    <hyperlink ref="A8" r:id="rId7" location="Bolts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Bolts!A1" xr:uid="{4510F085-6CD4-4063-AD32-3EA506B53217}"/>
    <hyperlink ref="A9" r:id="rId8" location="Screws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Screws!A1" xr:uid="{8A022825-58CD-4655-BDA2-27CCB267068F}"/>
    <hyperlink ref="A10" r:id="rId9" location="Planet%20Carrier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Planet%20Carrier!A1" xr:uid="{7A1F4BE5-40AF-4C00-B0B3-4908F679C4A7}"/>
    <hyperlink ref="A11" r:id="rId10" location="Grease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Grease!A1" xr:uid="{F04B3C2E-D052-4611-B278-61AD1E695AB0}"/>
    <hyperlink ref="A12" r:id="rId11" location="Gears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Gears!A1" xr:uid="{8D02DC80-F9C0-4DD2-AEED-E7E02CEF44AA}"/>
    <hyperlink ref="A13" r:id="rId12" location="Magnets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Magnets!A1" xr:uid="{66492FE7-798F-4368-912F-5E048F6E706E}"/>
    <hyperlink ref="A20" r:id="rId13" location="Keys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Keys!A1" xr:uid="{D1937E0A-6018-423F-B645-2381E0B1D554}"/>
    <hyperlink ref="A21" r:id="rId14" location="Springs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Springs!A1" xr:uid="{70D6B998-79E8-433D-991D-EB0D9C2F98AC}"/>
    <hyperlink ref="A22" r:id="rId15" location="Rings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Rings!A1" xr:uid="{C811A7FE-98E8-4587-99D0-0C8AFB6EFB20}"/>
    <hyperlink ref="A23" r:id="rId16" location="Allen%20Keys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Allen%20Keys!A1" xr:uid="{F3653ACD-594C-4501-A652-66C8E3F3E1C1}"/>
    <hyperlink ref="A24" r:id="rId17" location="DriveTools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DriveTools!A1" xr:uid="{A3598BE8-4EEA-4293-8E43-9D5A7BA1CF08}"/>
    <hyperlink ref="A25" r:id="rId18" location="Pliers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Pliers!A1" xr:uid="{A3F40117-BC88-4649-9994-D1A116140D12}"/>
    <hyperlink ref="A26" r:id="rId19" location="Screwdrivers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Screwdrivers!A1" xr:uid="{75486279-1A57-4287-B1F8-EBAE863F6562}"/>
    <hyperlink ref="A27" r:id="rId20" location="Sockets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Sockets!A1" xr:uid="{4AEAA67E-2D12-451C-BF22-DB1195323D82}"/>
    <hyperlink ref="A28" r:id="rId21" location="Tap%20&amp;%20Die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Tap%20&amp;%20Die!A1" xr:uid="{D25D846F-7695-41B6-B852-83AE6A792E74}"/>
    <hyperlink ref="A29" r:id="rId22" location="Wrenches!A1" display="https://usc-excel.officeapps.live.com/x/_layouts/xlviewerinternal.aspx?unified=1&amp;ui=en-US&amp;rs=en-US&amp;wopisrc=https%3A%2F%2Fecentral.sharepoint.com%2Fsites%2FPhoenix-PlatformingPartClassification%2F_vti_bin%2Fwopi.ashx%2Ffiles%2F1e1a65278e9640e5ad3562c1765bd0df&amp;wdenableroaming=1&amp;mscc=1&amp;hid=BC6F33A2-702B-E000-ECDA-2BFBEFB6FD2C.0&amp;uih=sharepointcom&amp;wdlcid=en-US&amp;jsapi=1&amp;jsapiver=v2&amp;corrid=fedc91e3-6f33-7b73-ca8c-54611bacd1f5&amp;usid=fedc91e3-6f33-7b73-ca8c-54611bacd1f5&amp;newsession=1&amp;sftc=1&amp;hfto=1787323939020.6&amp;uihit=docaspx&amp;muv=1&amp;ats=PairwiseBroker&amp;cac=1&amp;sams=1&amp;mtf=1&amp;sfp=1&amp;sdp=1&amp;hch=1&amp;hwfh=1&amp;dchat=1&amp;sc=%7B%22pmo%22%3A%22https%3A%2F%2Fecentral.sharepoint.com%22%2C%22pmshare%22%3Atrue%7D&amp;preseededsessionkey=451d576a-119e-25a0-1d95-0d47548b42ec&amp;preseededwacsessionid=fedc91e3-6f33-7b73-ca8c-54611bacd1f5&amp;ctp=LeastProtected&amp;rct=Normal&amp;wdorigin=Other&amp;afdflight=97&amp;wdredirectionreason=Force_SingleStepBoot&amp;xlel=1&amp;instantedit=1 - Wrenches!A1" xr:uid="{26E82204-4CF3-4E3E-81D8-53DB38D68202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062de4-74ba-4730-a339-59645ae170de}" enabled="0" method="" siteId="{d4062de4-74ba-4730-a339-59645ae170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Tarlekar, Sanjana Nitin</dc:creator>
  <cp:lastModifiedBy>Tarlekar, Sanjana Nitin</cp:lastModifiedBy>
  <dcterms:created xsi:type="dcterms:W3CDTF">2026-08-21T09:57:14Z</dcterms:created>
  <dcterms:modified xsi:type="dcterms:W3CDTF">2026-08-21T15:18:32Z</dcterms:modified>
</cp:coreProperties>
</file>